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abbit-rtd\doc\"/>
    </mc:Choice>
  </mc:AlternateContent>
  <xr:revisionPtr revIDLastSave="0" documentId="13_ncr:1_{768E90A0-D28D-4B7B-90F8-3FB74C05F1A1}" xr6:coauthVersionLast="33" xr6:coauthVersionMax="33" xr10:uidLastSave="{00000000-0000-0000-0000-000000000000}"/>
  <bookViews>
    <workbookView xWindow="0" yWindow="0" windowWidth="16155" windowHeight="7005" xr2:uid="{E8EE775B-36F4-45BC-A6D4-0C0867A090A7}"/>
  </bookViews>
  <sheets>
    <sheet name="Sheet2" sheetId="2" r:id="rId1"/>
  </sheets>
  <definedNames>
    <definedName name="CLOCK">#REF!</definedName>
    <definedName name="EXCHANGE">Sheet2!$C$3</definedName>
    <definedName name="progId">Sheet2!$C$1</definedName>
    <definedName name="QUEUE">Sheet2!$C$4</definedName>
    <definedName name="RABBIT_URI">Sheet2!$C$2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5" i="2"/>
  <c r="H3" i="2"/>
  <c r="C14" i="2"/>
  <c r="C11" i="2"/>
  <c r="D15" i="2"/>
  <c r="D11" i="2"/>
  <c r="C12" i="2"/>
  <c r="D13" i="2"/>
  <c r="C15" i="2"/>
  <c r="D14" i="2"/>
  <c r="C9" i="2"/>
  <c r="C13" i="2"/>
  <c r="D12" i="2"/>
  <c r="C8" i="2"/>
  <c r="C10" i="2"/>
  <c r="D8" i="2"/>
  <c r="D9" i="2"/>
  <c r="D10" i="2"/>
  <c r="F1" i="2"/>
  <c r="F2" i="2" l="1"/>
  <c r="F5" i="2"/>
  <c r="F4" i="2"/>
  <c r="F3" i="2"/>
  <c r="G10" i="2" l="1"/>
  <c r="G8" i="2"/>
  <c r="G1" i="2"/>
  <c r="G2" i="2" s="1"/>
  <c r="E15" i="2"/>
  <c r="E14" i="2"/>
  <c r="E12" i="2"/>
  <c r="E11" i="2"/>
  <c r="E13" i="2"/>
  <c r="E10" i="2"/>
  <c r="E9" i="2"/>
  <c r="E8" i="2"/>
  <c r="G3" i="2" l="1"/>
  <c r="G4" i="2"/>
  <c r="G5" i="2"/>
  <c r="F8" i="2" l="1"/>
  <c r="F9" i="2"/>
  <c r="F10" i="2"/>
</calcChain>
</file>

<file path=xl/sharedStrings.xml><?xml version="1.0" encoding="utf-8"?>
<sst xmlns="http://schemas.openxmlformats.org/spreadsheetml/2006/main" count="28" uniqueCount="28">
  <si>
    <t>rabbit</t>
  </si>
  <si>
    <t>progId</t>
  </si>
  <si>
    <t>routingKey</t>
  </si>
  <si>
    <t>FIELD</t>
  </si>
  <si>
    <t>ROUTING_KEY_0</t>
  </si>
  <si>
    <t>ROUTING_KEY_1</t>
  </si>
  <si>
    <t>ROUTING_KEY_2</t>
  </si>
  <si>
    <t>Exchange</t>
  </si>
  <si>
    <t>Blank</t>
  </si>
  <si>
    <t>ROUTING_KEY_3</t>
  </si>
  <si>
    <t>ROUTING_KEY_4</t>
  </si>
  <si>
    <t>ROUTING_KEY_5</t>
  </si>
  <si>
    <t>ROUTING_KEY_6</t>
  </si>
  <si>
    <t>ROUTING_KEY_7</t>
  </si>
  <si>
    <t>amqp://guest:guest@localhost</t>
  </si>
  <si>
    <t>Rabbit URI</t>
  </si>
  <si>
    <t>EXCHANGE:topic:false:true</t>
  </si>
  <si>
    <t>NOW</t>
  </si>
  <si>
    <t>Bytes</t>
  </si>
  <si>
    <t>secs</t>
  </si>
  <si>
    <t>RTD_START_TIME</t>
  </si>
  <si>
    <t>RTD_UPDATES</t>
  </si>
  <si>
    <t>RTD_DISTINCT</t>
  </si>
  <si>
    <t>RTD_REFRESHES</t>
  </si>
  <si>
    <t>Queue</t>
  </si>
  <si>
    <t>Display Rate</t>
  </si>
  <si>
    <t>Bytes Per Sec</t>
  </si>
  <si>
    <t>This text was added by using code 6/19/2018 5:26:57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</si>
</sst>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[$-F400]h:mm:ss\ AM/PM"/>
    <numFmt numFmtId="166" formatCode="h:mm:ss.0"/>
  </numFmts>
  <fonts count="4">
    <font>
      <sz val="11"/>
      <color theme="1"/>
      <name val="Calibri"/>
      <family val="2"/>
      <scheme val="minor"/>
    </font>
    <font>
      <sz val="12"/>
      <color rgb="FF2F2F2F"/>
      <name val="Segoe UI"/>
      <family val="2"/>
    </font>
    <font>
      <sz val="14"/>
      <color rgb="FFA5C261"/>
      <name val="Arial Unicode MS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0" borderId="0" xfId="0" applyNumberFormat="1"/>
    <xf numFmtId="0" fontId="1" fillId="0" borderId="0" xfId="0" applyFont="1"/>
    <xf numFmtId="164" fontId="0" fillId="0" borderId="0" xfId="1" applyNumberFormat="1" applyFont="1"/>
    <xf numFmtId="165" fontId="0" fillId="0" borderId="0" xfId="0" applyNumberFormat="1"/>
    <xf numFmtId="166" fontId="2" fillId="0" borderId="0" xfId="0" applyNumberFormat="1" applyFont="1" applyAlignment="1">
      <alignment horizontal="left" vertical="center"/>
    </xf>
    <xf numFmtId="3" fontId="0" fillId="0" borderId="0" xfId="0" applyNumberFormat="1"/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4">
    <dxf>
      <numFmt numFmtId="14" formatCode="0.00%"/>
    </dxf>
    <dxf>
      <numFmt numFmtId="0" formatCode="General"/>
    </dxf>
    <dxf>
      <numFmt numFmtId="0" formatCode="General"/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abbit">
      <tp t="s">
        <v>ROUTING_KEY_1 =&gt; FIELD: 1511865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amqp://guest:guest@localhost</stp>
        <stp>EXCHANGE:topic:false:true</stp>
        <stp/>
        <stp>ROUTING_KEY_1</stp>
        <stp/>
        <tr r="D9" s="2"/>
      </tp>
      <tp t="s">
        <v>{ "rk": "ROUTING_KEY_0", "FIELD": 1423031, "padding": "x"}</v>
        <stp/>
        <stp>amqp://guest:guest@localhost</stp>
        <stp>EXCHANGE:topic:false:true</stp>
        <stp/>
        <stp>ROUTING_KEY_0</stp>
        <stp/>
        <tr r="D8" s="2"/>
      </tp>
      <tp t="s">
        <v>&lt;?&gt;</v>
        <stp/>
        <stp>amqp://guest:guest@localhost</stp>
        <stp>EXCHANGE:topic:false:true</stp>
        <stp/>
        <stp>ROUTING_KEY_3</stp>
        <stp/>
        <tr r="D11" s="2"/>
      </tp>
      <tp t="s">
        <v>{ "rk": "ROUTING_KEY_2", "FIELD": 1472261, "padding": "xxxxxxxxxxxxxxxxxxxxxxxxxxxxxxxxxxxxxxxxxxxxxxxxxxxxxxxxxxxxxxxxxxxxxxxxxxxxxxxxxxxxxxxxxxxxxxxxxxxxxxxxxxxxxxxxxxxxxxxxxxxxxxxxxxxxxxxxxxxxxxxxxxxxxxxxxxxxxxxxxxxxxxxxxxxxxxxxxxxxxxxxxxxx"}</v>
        <stp/>
        <stp>amqp://guest:guest@localhost</stp>
        <stp>EXCHANGE:topic:false:true</stp>
        <stp/>
        <stp>ROUTING_KEY_2</stp>
        <stp/>
        <tr r="D10" s="2"/>
      </tp>
      <tp t="s">
        <v>&lt;?&gt;</v>
        <stp/>
        <stp>amqp://guest:guest@localhost</stp>
        <stp>EXCHANGE:topic:false:true</stp>
        <stp/>
        <stp>ROUTING_KEY_5</stp>
        <stp/>
        <tr r="D13" s="2"/>
      </tp>
      <tp t="s">
        <v>&lt;?&gt;</v>
        <stp/>
        <stp>amqp://guest:guest@localhost</stp>
        <stp>EXCHANGE:topic:false:true</stp>
        <stp/>
        <stp>ROUTING_KEY_4</stp>
        <stp/>
        <tr r="D12" s="2"/>
      </tp>
      <tp t="s">
        <v>&lt;?&gt;</v>
        <stp/>
        <stp>amqp://guest:guest@localhost</stp>
        <stp>EXCHANGE:topic:false:true</stp>
        <stp/>
        <stp>ROUTING_KEY_7</stp>
        <stp/>
        <tr r="D15" s="2"/>
      </tp>
      <tp t="s">
        <v>&lt;?&gt;</v>
        <stp/>
        <stp>amqp://guest:guest@localhost</stp>
        <stp>EXCHANGE:topic:false:true</stp>
        <stp/>
        <stp>ROUTING_KEY_6</stp>
        <stp/>
        <tr r="D14" s="2"/>
      </tp>
      <tp>
        <v>8221</v>
        <stp/>
        <stp>RTD_REFRESHES</stp>
        <tr r="F4" s="2"/>
      </tp>
      <tp>
        <v>43270.724396921294</v>
        <stp/>
        <stp>RTD_START_TIME</stp>
        <tr r="F1" s="2"/>
      </tp>
      <tp>
        <v>6434266</v>
        <stp/>
        <stp>RTD_DISTINCT</stp>
        <tr r="F5" s="2"/>
      </tp>
      <tp t="s">
        <v>&lt;?&gt;</v>
        <stp/>
        <stp>amqp://guest:guest@localhost</stp>
        <stp>EXCHANGE:topic:false:true</stp>
        <stp/>
        <stp>ROUTING_KEY_4</stp>
        <stp>FIELD</stp>
        <tr r="C12" s="2"/>
      </tp>
      <tp>
        <v>6425948</v>
        <stp/>
        <stp>RTD_UPDATES</stp>
        <tr r="F3" s="2"/>
      </tp>
      <tp t="s">
        <v>&lt;?&gt;</v>
        <stp/>
        <stp>amqp://guest:guest@localhost</stp>
        <stp>EXCHANGE:topic:false:true</stp>
        <stp/>
        <stp>ROUTING_KEY_5</stp>
        <stp>FIELD</stp>
        <tr r="C13" s="2"/>
      </tp>
      <tp t="s">
        <v>&lt;?&gt;</v>
        <stp/>
        <stp>amqp://guest:guest@localhost</stp>
        <stp>EXCHANGE:topic:false:true</stp>
        <stp/>
        <stp>ROUTING_KEY_6</stp>
        <stp>FIELD</stp>
        <tr r="C14" s="2"/>
      </tp>
      <tp t="s">
        <v>&lt;?&gt;</v>
        <stp/>
        <stp>amqp://guest:guest@localhost</stp>
        <stp>EXCHANGE:topic:false:true</stp>
        <stp/>
        <stp>ROUTING_KEY_7</stp>
        <stp>FIELD</stp>
        <tr r="C15" s="2"/>
      </tp>
      <tp>
        <v>1423030</v>
        <stp/>
        <stp>amqp://guest:guest@localhost</stp>
        <stp>EXCHANGE:topic:false:true</stp>
        <stp/>
        <stp>ROUTING_KEY_0</stp>
        <stp>FIELD</stp>
        <tr r="C8" s="2"/>
      </tp>
      <tp t="s">
        <v>&lt;?&gt;</v>
        <stp/>
        <stp>amqp://guest:guest@localhost</stp>
        <stp>EXCHANGE:topic:false:true</stp>
        <stp/>
        <stp>ROUTING_KEY_1</stp>
        <stp>FIELD</stp>
        <tr r="C9" s="2"/>
      </tp>
      <tp>
        <v>1472260</v>
        <stp/>
        <stp>amqp://guest:guest@localhost</stp>
        <stp>EXCHANGE:topic:false:true</stp>
        <stp/>
        <stp>ROUTING_KEY_2</stp>
        <stp>FIELD</stp>
        <tr r="C10" s="2"/>
      </tp>
      <tp t="s">
        <v>&lt;?&gt;</v>
        <stp/>
        <stp>amqp://guest:guest@localhost</stp>
        <stp>EXCHANGE:topic:false:true</stp>
        <stp/>
        <stp>ROUTING_KEY_3</stp>
        <stp>FIELD</stp>
        <tr r="C11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7F722-ED7D-4333-A4C8-1851926C6A41}" name="Table1" displayName="Table1" ref="B7:G15" totalsRowShown="0">
  <autoFilter ref="B7:G15" xr:uid="{AFA1E022-2891-4287-B6A7-1DB85DD2C978}"/>
  <tableColumns count="6">
    <tableColumn id="1" xr3:uid="{EBA705AC-9B3A-4FAB-9C8D-70C761EAEE4E}" name="routingKey"/>
    <tableColumn id="2" xr3:uid="{FC389AD0-32F6-49D0-A478-0AD43A9A103B}" name="FIELD" dataDxfId="3" dataCellStyle="Comma">
      <calculatedColumnFormula>RTD(progId,,RABBIT_URI,EXCHANGE,QUEUE,Table1[[#This Row],[routingKey]],Table1[[#Headers],[FIELD]])</calculatedColumnFormula>
    </tableColumn>
    <tableColumn id="3" xr3:uid="{18909FE7-3F69-4959-8149-605997636DDD}" name="Blank" dataDxfId="2">
      <calculatedColumnFormula>RTD(progId,,RABBIT_URI,EXCHANGE,QUEUE,Table1[[#This Row],[routingKey]],IF(Table1[[#Headers],[Blank]]="Blank","",Table1[[#Headers],[Blank]]) )</calculatedColumnFormula>
    </tableColumn>
    <tableColumn id="4" xr3:uid="{CC8DE750-F263-4AD5-9002-1AFDF6C341EF}" name="Bytes">
      <calculatedColumnFormula>LEN(Table1[[#This Row],[Blank]])</calculatedColumnFormula>
    </tableColumn>
    <tableColumn id="5" xr3:uid="{13C0C092-CC19-4504-9477-602988BA5436}" name="Bytes Per Sec" dataDxfId="1">
      <calculatedColumnFormula>Table1[[#This Row],[Bytes]]*G$3</calculatedColumnFormula>
    </tableColumn>
    <tableColumn id="6" xr3:uid="{5E53CD76-1E7E-4CAF-9E70-80A1031CBC65}" name="Display Rate" dataDxfId="0" dataCellStyle="Percent">
      <calculatedColumnFormula>Table1[[#This Row],[FIELD]]/3/F$5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B4B-BAF3-4DE9-8F2E-E0D2F1C20227}">
  <sheetPr codeName="Sheet1"/>
  <dimension ref="A1:H21"/>
  <sheetViews>
    <sheetView tabSelected="1" workbookViewId="0">
      <selection activeCell="G18" sqref="G18"/>
    </sheetView>
  </sheetViews>
  <sheetFormatPr defaultRowHeight="15"/>
  <cols>
    <col min="2" max="2" width="15.42578125" bestFit="1" customWidth="1"/>
    <col min="3" max="3" width="19.140625" customWidth="1"/>
    <col min="4" max="4" width="18" customWidth="1"/>
    <col min="5" max="5" width="16.28515625" bestFit="1" customWidth="1"/>
    <col min="6" max="6" width="12.42578125" customWidth="1"/>
    <col min="7" max="7" width="15.7109375" customWidth="1"/>
    <col min="8" max="8" width="12.85546875" bestFit="1" customWidth="1"/>
    <col min="9" max="9" width="11.7109375" bestFit="1" customWidth="1"/>
  </cols>
  <sheetData>
    <row r="1" spans="1:8" ht="18">
      <c r="A1" t="s">
        <v>27</v>
      </c>
      <c r="B1" t="s">
        <v>1</v>
      </c>
      <c r="C1" s="1" t="s">
        <v>0</v>
      </c>
      <c r="E1" t="s">
        <v>20</v>
      </c>
      <c r="F1" s="5">
        <f>RTD(progId,,$E1)</f>
        <v>43270.724396921294</v>
      </c>
      <c r="G1" s="6">
        <f ca="1">F2-F1</f>
        <v>2.6625694445101544E-3</v>
      </c>
    </row>
    <row r="2" spans="1:8">
      <c r="B2" t="s">
        <v>15</v>
      </c>
      <c r="C2" s="1" t="s">
        <v>14</v>
      </c>
      <c r="E2" t="s">
        <v>17</v>
      </c>
      <c r="F2" s="5">
        <f ca="1">NOW()</f>
        <v>43270.727059490739</v>
      </c>
      <c r="G2" s="7">
        <f ca="1">G1*86400</f>
        <v>230.04600000567734</v>
      </c>
      <c r="H2" t="s">
        <v>19</v>
      </c>
    </row>
    <row r="3" spans="1:8">
      <c r="B3" t="s">
        <v>7</v>
      </c>
      <c r="C3" s="1" t="s">
        <v>16</v>
      </c>
      <c r="E3" t="s">
        <v>21</v>
      </c>
      <c r="F3" s="4">
        <f>RTD(progId,,$E3)</f>
        <v>6425948</v>
      </c>
      <c r="G3" s="4">
        <f ca="1">F3/G$2</f>
        <v>27933.317683599857</v>
      </c>
      <c r="H3" t="str">
        <f>"/sec"</f>
        <v>/sec</v>
      </c>
    </row>
    <row r="4" spans="1:8">
      <c r="B4" t="s">
        <v>24</v>
      </c>
      <c r="C4" s="1"/>
      <c r="E4" t="s">
        <v>23</v>
      </c>
      <c r="F4" s="4">
        <f>RTD(progId,,$E4)</f>
        <v>8221</v>
      </c>
      <c r="G4" s="4">
        <f ca="1">F4/G$2</f>
        <v>35.736330993788691</v>
      </c>
      <c r="H4" t="str">
        <f t="shared" ref="H4:H5" si="0">"/sec"</f>
        <v>/sec</v>
      </c>
    </row>
    <row r="5" spans="1:8">
      <c r="E5" t="s">
        <v>22</v>
      </c>
      <c r="F5" s="4">
        <f>RTD(progId,,$E5)</f>
        <v>6434266</v>
      </c>
      <c r="G5" s="4">
        <f ca="1">F5/G$2</f>
        <v>27969.475669393112</v>
      </c>
      <c r="H5" t="str">
        <f t="shared" si="0"/>
        <v>/sec</v>
      </c>
    </row>
    <row r="7" spans="1:8">
      <c r="B7" t="s">
        <v>2</v>
      </c>
      <c r="C7" t="s">
        <v>3</v>
      </c>
      <c r="D7" t="s">
        <v>8</v>
      </c>
      <c r="E7" t="s">
        <v>18</v>
      </c>
      <c r="F7" t="s">
        <v>26</v>
      </c>
      <c r="G7" t="s">
        <v>25</v>
      </c>
    </row>
    <row r="8" spans="1:8">
      <c r="B8" t="s">
        <v>4</v>
      </c>
      <c r="C8" s="4">
        <f>RTD(progId,,RABBIT_URI,EXCHANGE,QUEUE,Table1[[#This Row],[routingKey]],Table1[[#Headers],[FIELD]])</f>
        <v>1423030</v>
      </c>
      <c r="D8" s="2" t="str">
        <f>RTD(progId,,RABBIT_URI,EXCHANGE,QUEUE,Table1[[#This Row],[routingKey]],IF(Table1[[#Headers],[Blank]]="Blank","",Table1[[#Headers],[Blank]]) )</f>
        <v>{ "rk": "ROUTING_KEY_0", "FIELD": 1423031, "padding": "x"}</v>
      </c>
      <c r="E8">
        <f>LEN(Table1[[#This Row],[Blank]])</f>
        <v>58</v>
      </c>
      <c r="F8" s="4">
        <f ca="1">Table1[[#This Row],[Bytes]]*G$3</f>
        <v>1620132.4256487917</v>
      </c>
      <c r="G8" s="8">
        <f>Table1[[#This Row],[FIELD]]/3/$F$5</f>
        <v>7.3721436653898562E-2</v>
      </c>
    </row>
    <row r="9" spans="1:8">
      <c r="B9" t="s">
        <v>5</v>
      </c>
      <c r="C9" s="4" t="str">
        <f>RTD(progId,,RABBIT_URI,EXCHANGE,QUEUE,Table1[[#This Row],[routingKey]],Table1[[#Headers],[FIELD]])</f>
        <v>&lt;?&gt;</v>
      </c>
      <c r="D9" s="2" t="str">
        <f>RTD(progId,,RABBIT_URI,EXCHANGE,QUEUE,Table1[[#This Row],[routingKey]],IF(Table1[[#Headers],[Blank]]="Blank","",Table1[[#Headers],[Blank]]) )</f>
        <v>ROUTING_KEY_1 =&gt; FIELD: 1511865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E9">
        <f>LEN(Table1[[#This Row],[Blank]])</f>
        <v>7624</v>
      </c>
      <c r="F9" s="4">
        <f ca="1">Table1[[#This Row],[Bytes]]*G$3</f>
        <v>212963614.01976532</v>
      </c>
      <c r="G9" s="8"/>
    </row>
    <row r="10" spans="1:8">
      <c r="B10" t="s">
        <v>6</v>
      </c>
      <c r="C10" s="4">
        <f>RTD(progId,,RABBIT_URI,EXCHANGE,QUEUE,Table1[[#This Row],[routingKey]],Table1[[#Headers],[FIELD]])</f>
        <v>1472260</v>
      </c>
      <c r="D10" s="2" t="str">
        <f>RTD(progId,,RABBIT_URI,EXCHANGE,QUEUE,Table1[[#This Row],[routingKey]],IF(Table1[[#Headers],[Blank]]="Blank","",Table1[[#Headers],[Blank]]) )</f>
        <v>{ "rk": "ROUTING_KEY_2", "FIELD": 1472261, "padding": "xxxxxxxxxxxxxxxxxxxxxxxxxxxxxxxxxxxxxxxxxxxxxxxxxxxxxxxxxxxxxxxxxxxxxxxxxxxxxxxxxxxxxxxxxxxxxxxxxxxxxxxxxxxxxxxxxxxxxxxxxxxxxxxxxxxxxxxxxxxxxxxxxxxxxxxxxxxxxxxxxxxxxxxxxxxxxxxxxxxxxxxxxxxx"}</v>
      </c>
      <c r="E10">
        <f>LEN(Table1[[#This Row],[Blank]])</f>
        <v>245</v>
      </c>
      <c r="F10" s="4">
        <f ca="1">Table1[[#This Row],[Bytes]]*G$3</f>
        <v>6843662.8324819645</v>
      </c>
      <c r="G10" s="8">
        <f>Table1[[#This Row],[FIELD]]/3/$F$5</f>
        <v>7.627184411296227E-2</v>
      </c>
    </row>
    <row r="11" spans="1:8">
      <c r="B11" t="s">
        <v>9</v>
      </c>
      <c r="C11" s="4" t="str">
        <f>RTD(progId,,RABBIT_URI,EXCHANGE,QUEUE,Table1[[#This Row],[routingKey]],Table1[[#Headers],[FIELD]])</f>
        <v>&lt;?&gt;</v>
      </c>
      <c r="D11" s="2" t="str">
        <f>RTD(progId,,RABBIT_URI,EXCHANGE,QUEUE,Table1[[#This Row],[routingKey]],IF(Table1[[#Headers],[Blank]]="Blank","",Table1[[#Headers],[Blank]]) )</f>
        <v>&lt;?&gt;</v>
      </c>
      <c r="E11">
        <f>LEN(Table1[[#This Row],[Blank]])</f>
        <v>3</v>
      </c>
      <c r="F11" s="4"/>
      <c r="G11" s="8"/>
    </row>
    <row r="12" spans="1:8">
      <c r="B12" t="s">
        <v>10</v>
      </c>
      <c r="C12" s="4" t="str">
        <f>RTD(progId,,RABBIT_URI,EXCHANGE,QUEUE,Table1[[#This Row],[routingKey]],Table1[[#Headers],[FIELD]])</f>
        <v>&lt;?&gt;</v>
      </c>
      <c r="D12" s="2" t="str">
        <f>RTD(progId,,RABBIT_URI,EXCHANGE,QUEUE,Table1[[#This Row],[routingKey]],IF(Table1[[#Headers],[Blank]]="Blank","",Table1[[#Headers],[Blank]]) )</f>
        <v>&lt;?&gt;</v>
      </c>
      <c r="E12">
        <f>LEN(Table1[[#This Row],[Blank]])</f>
        <v>3</v>
      </c>
      <c r="F12" s="4"/>
      <c r="G12" s="8"/>
    </row>
    <row r="13" spans="1:8">
      <c r="B13" t="s">
        <v>11</v>
      </c>
      <c r="C13" s="4" t="str">
        <f>RTD(progId,,RABBIT_URI,EXCHANGE,QUEUE,Table1[[#This Row],[routingKey]],Table1[[#Headers],[FIELD]])</f>
        <v>&lt;?&gt;</v>
      </c>
      <c r="D13" s="2" t="str">
        <f>RTD(progId,,RABBIT_URI,EXCHANGE,QUEUE,Table1[[#This Row],[routingKey]],IF(Table1[[#Headers],[Blank]]="Blank","",Table1[[#Headers],[Blank]]) )</f>
        <v>&lt;?&gt;</v>
      </c>
      <c r="E13">
        <f>LEN(Table1[[#This Row],[Blank]])</f>
        <v>3</v>
      </c>
      <c r="F13" s="4"/>
      <c r="G13" s="8"/>
    </row>
    <row r="14" spans="1:8">
      <c r="B14" t="s">
        <v>12</v>
      </c>
      <c r="C14" s="4" t="str">
        <f>RTD(progId,,RABBIT_URI,EXCHANGE,QUEUE,Table1[[#This Row],[routingKey]],Table1[[#Headers],[FIELD]])</f>
        <v>&lt;?&gt;</v>
      </c>
      <c r="D14" s="2" t="str">
        <f>RTD(progId,,RABBIT_URI,EXCHANGE,QUEUE,Table1[[#This Row],[routingKey]],IF(Table1[[#Headers],[Blank]]="Blank","",Table1[[#Headers],[Blank]]) )</f>
        <v>&lt;?&gt;</v>
      </c>
      <c r="E14">
        <f>LEN(Table1[[#This Row],[Blank]])</f>
        <v>3</v>
      </c>
      <c r="F14" s="4"/>
      <c r="G14" s="8"/>
    </row>
    <row r="15" spans="1:8">
      <c r="B15" t="s">
        <v>13</v>
      </c>
      <c r="C15" s="4" t="str">
        <f>RTD(progId,,RABBIT_URI,EXCHANGE,QUEUE,Table1[[#This Row],[routingKey]],Table1[[#Headers],[FIELD]])</f>
        <v>&lt;?&gt;</v>
      </c>
      <c r="D15" s="2" t="str">
        <f>RTD(progId,,RABBIT_URI,EXCHANGE,QUEUE,Table1[[#This Row],[routingKey]],IF(Table1[[#Headers],[Blank]]="Blank","",Table1[[#Headers],[Blank]]) )</f>
        <v>&lt;?&gt;</v>
      </c>
      <c r="E15">
        <f>LEN(Table1[[#This Row],[Blank]])</f>
        <v>3</v>
      </c>
      <c r="F15" s="4"/>
      <c r="G15" s="8"/>
    </row>
    <row r="21" spans="3:3" ht="17.25">
      <c r="C21" s="3"/>
    </row>
  </sheetData>
  <pageMargins left="0.7" right="0.7" top="0.75" bottom="0.75" header="0.3" footer="0.3"/>
  <pageSetup orientation="portrait" r:id="rId1"/>
  <ignoredErrors>
    <ignoredError sqref="F2" formula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Sheet2</vt:lpstr>
      <vt:lpstr>EXCHANGE</vt:lpstr>
      <vt:lpstr>progId</vt:lpstr>
      <vt:lpstr>QUEUE</vt:lpstr>
      <vt:lpstr>RABBIT_URI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2018-06-19T21:26:57Z</dcterms:modified>
</cp:coreProperties>
</file>